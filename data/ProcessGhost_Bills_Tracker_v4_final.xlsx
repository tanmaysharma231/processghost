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Bills" sheetId="1" state="visible" r:id="rId1"/>
    <sheet xmlns:r="http://schemas.openxmlformats.org/officeDocument/2006/relationships" name="Monthly Actuals" sheetId="2" state="visible" r:id="rId2"/>
    <sheet xmlns:r="http://schemas.openxmlformats.org/officeDocument/2006/relationships" name="Transactions - Mar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₹#,##0;(₹#,##0);-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2F4F8F"/>
      <sz val="10"/>
    </font>
  </fonts>
  <fills count="6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FFF9E6"/>
      </patternFill>
    </fill>
    <fill>
      <patternFill patternType="solid">
        <fgColor rgb="00E3F2FD"/>
      </patternFill>
    </fill>
    <fill>
      <patternFill patternType="solid">
        <f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2" fillId="3" borderId="0" pivotButton="0" quotePrefix="0" xfId="0"/>
    <xf numFmtId="164" fontId="2" fillId="3" borderId="0" pivotButton="0" quotePrefix="0" xfId="0"/>
    <xf numFmtId="165" fontId="2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164" fontId="3" fillId="4" borderId="0" pivotButton="0" quotePrefix="0" xfId="0"/>
    <xf numFmtId="164" fontId="4" fillId="4" borderId="0" pivotButton="0" quotePrefix="0" xfId="0"/>
    <xf numFmtId="0" fontId="1" fillId="5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20" customWidth="1" min="4" max="4"/>
    <col width="16" customWidth="1" min="5" max="5"/>
    <col width="30" customWidth="1" min="6" max="6"/>
  </cols>
  <sheetData>
    <row r="1">
      <c r="A1" s="1" t="inlineStr">
        <is>
          <t>Bill ID</t>
        </is>
      </c>
      <c r="B1" s="1" t="inlineStr">
        <is>
          <t>Vendor Name</t>
        </is>
      </c>
      <c r="C1" s="1" t="inlineStr">
        <is>
          <t>Category</t>
        </is>
      </c>
      <c r="D1" s="1" t="inlineStr">
        <is>
          <t>Expected Amount (₹)</t>
        </is>
      </c>
      <c r="E1" s="1" t="inlineStr">
        <is>
          <t>Due Date (Day)</t>
        </is>
      </c>
      <c r="F1" s="1" t="inlineStr">
        <is>
          <t>Notes</t>
        </is>
      </c>
    </row>
    <row r="2">
      <c r="A2" s="2" t="inlineStr">
        <is>
          <t>BILL-001</t>
        </is>
      </c>
      <c r="B2" s="2" t="inlineStr">
        <is>
          <t>AWS Cloud Services</t>
        </is>
      </c>
      <c r="C2" s="2" t="inlineStr">
        <is>
          <t>Infrastructure</t>
        </is>
      </c>
      <c r="D2" s="3" t="n">
        <v>45000</v>
      </c>
      <c r="E2" s="2" t="n">
        <v>1</v>
      </c>
      <c r="F2" s="2" t="inlineStr">
        <is>
          <t>Auto-debited</t>
        </is>
      </c>
    </row>
    <row r="3">
      <c r="A3" s="2" t="inlineStr">
        <is>
          <t>BILL-002</t>
        </is>
      </c>
      <c r="B3" s="2" t="inlineStr">
        <is>
          <t>Tata Broadband</t>
        </is>
      </c>
      <c r="C3" s="2" t="inlineStr">
        <is>
          <t>Utilities</t>
        </is>
      </c>
      <c r="D3" s="3" t="n">
        <v>8500</v>
      </c>
      <c r="E3" s="2" t="n">
        <v>5</v>
      </c>
      <c r="F3" s="2" t="inlineStr">
        <is>
          <t>Invoice by email</t>
        </is>
      </c>
    </row>
    <row r="4">
      <c r="A4" s="2" t="inlineStr">
        <is>
          <t>BILL-003</t>
        </is>
      </c>
      <c r="B4" s="2" t="inlineStr">
        <is>
          <t>Office Rent - Koramangala</t>
        </is>
      </c>
      <c r="C4" s="2" t="inlineStr">
        <is>
          <t>Facilities</t>
        </is>
      </c>
      <c r="D4" s="3" t="n">
        <v>120000</v>
      </c>
      <c r="E4" s="2" t="n">
        <v>1</v>
      </c>
      <c r="F4" s="2" t="inlineStr">
        <is>
          <t>NEFT to landlord</t>
        </is>
      </c>
    </row>
    <row r="5">
      <c r="A5" s="2" t="inlineStr">
        <is>
          <t>BILL-004</t>
        </is>
      </c>
      <c r="B5" s="2" t="inlineStr">
        <is>
          <t>Zoho Suite</t>
        </is>
      </c>
      <c r="C5" s="2" t="inlineStr">
        <is>
          <t>Software</t>
        </is>
      </c>
      <c r="D5" s="3" t="n">
        <v>6200</v>
      </c>
      <c r="E5" s="2" t="n">
        <v>10</v>
      </c>
      <c r="F5" s="2" t="inlineStr">
        <is>
          <t>Annual plan monthly split</t>
        </is>
      </c>
    </row>
    <row r="6">
      <c r="A6" s="2" t="inlineStr">
        <is>
          <t>BILL-005</t>
        </is>
      </c>
      <c r="B6" s="2" t="inlineStr">
        <is>
          <t>Swiggy for Business</t>
        </is>
      </c>
      <c r="C6" s="2" t="inlineStr">
        <is>
          <t>Meals</t>
        </is>
      </c>
      <c r="D6" s="3" t="n">
        <v>12000</v>
      </c>
      <c r="E6" s="2" t="n">
        <v>28</v>
      </c>
      <c r="F6" s="2" t="inlineStr">
        <is>
          <t>Reimbursement pool</t>
        </is>
      </c>
    </row>
    <row r="7">
      <c r="A7" s="2" t="inlineStr">
        <is>
          <t>BILL-006</t>
        </is>
      </c>
      <c r="B7" s="2" t="inlineStr">
        <is>
          <t>Security Agency</t>
        </is>
      </c>
      <c r="C7" s="2" t="inlineStr">
        <is>
          <t>Facilities</t>
        </is>
      </c>
      <c r="D7" s="3" t="n">
        <v>35000</v>
      </c>
      <c r="E7" s="2" t="n">
        <v>1</v>
      </c>
      <c r="F7" s="2" t="inlineStr">
        <is>
          <t>Cash or cheque only</t>
        </is>
      </c>
    </row>
    <row r="8">
      <c r="A8" s="2" t="inlineStr">
        <is>
          <t>BILL-007</t>
        </is>
      </c>
      <c r="B8" s="2" t="inlineStr">
        <is>
          <t>Google Workspace</t>
        </is>
      </c>
      <c r="C8" s="2" t="inlineStr">
        <is>
          <t>Software</t>
        </is>
      </c>
      <c r="D8" s="3" t="n">
        <v>4800</v>
      </c>
      <c r="E8" s="2" t="n">
        <v>15</v>
      </c>
      <c r="F8" s="2" t="inlineStr">
        <is>
          <t>Auto-debited</t>
        </is>
      </c>
    </row>
    <row r="9">
      <c r="A9" s="2" t="inlineStr">
        <is>
          <t>BILL-008</t>
        </is>
      </c>
      <c r="B9" s="2" t="inlineStr">
        <is>
          <t>Courier Partner</t>
        </is>
      </c>
      <c r="C9" s="2" t="inlineStr">
        <is>
          <t>Logistics</t>
        </is>
      </c>
      <c r="D9" s="3" t="n">
        <v>3500</v>
      </c>
      <c r="E9" s="2" t="n">
        <v>20</v>
      </c>
      <c r="F9" s="2" t="inlineStr">
        <is>
          <t>Variable — estimate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6" customWidth="1" min="4" max="4"/>
    <col width="14" customWidth="1" min="5" max="5"/>
    <col width="12" customWidth="1" min="6" max="6"/>
    <col width="14" customWidth="1" min="7" max="7"/>
    <col width="10" customWidth="1" min="8" max="8"/>
    <col width="12" customWidth="1" min="9" max="9"/>
    <col width="20" customWidth="1" min="10" max="10"/>
  </cols>
  <sheetData>
    <row r="1">
      <c r="A1" s="1" t="inlineStr">
        <is>
          <t>Month</t>
        </is>
      </c>
      <c r="B1" s="1" t="inlineStr">
        <is>
          <t>Bill ID</t>
        </is>
      </c>
      <c r="C1" s="1" t="inlineStr">
        <is>
          <t>Transaction String</t>
        </is>
      </c>
      <c r="D1" s="1" t="inlineStr">
        <is>
          <t>Category</t>
        </is>
      </c>
      <c r="E1" s="1" t="inlineStr">
        <is>
          <t>Expected (₹)</t>
        </is>
      </c>
      <c r="F1" s="1" t="inlineStr">
        <is>
          <t>Actual (₹)</t>
        </is>
      </c>
      <c r="G1" s="1" t="inlineStr">
        <is>
          <t>Variance (₹)</t>
        </is>
      </c>
      <c r="H1" s="1" t="inlineStr">
        <is>
          <t>Status</t>
        </is>
      </c>
      <c r="I1" s="1" t="inlineStr">
        <is>
          <t>Entered By</t>
        </is>
      </c>
      <c r="J1" s="1" t="inlineStr">
        <is>
          <t>Remarks</t>
        </is>
      </c>
    </row>
    <row r="2">
      <c r="A2" s="2" t="inlineStr">
        <is>
          <t>Jan 2025</t>
        </is>
      </c>
      <c r="B2" s="2" t="inlineStr">
        <is>
          <t>BILL-001</t>
        </is>
      </c>
      <c r="C2" s="2" t="inlineStr">
        <is>
          <t>AMZN WEB SVCS IN *AWS48219</t>
        </is>
      </c>
      <c r="D2" s="2" t="inlineStr">
        <is>
          <t>Infrastructure</t>
        </is>
      </c>
      <c r="E2" s="3" t="n">
        <v>45000</v>
      </c>
      <c r="F2" s="3" t="n">
        <v>45000</v>
      </c>
      <c r="G2" s="4">
        <f>IF(F2&lt;&gt;"",F2-E2,"")</f>
        <v/>
      </c>
      <c r="H2" s="2" t="inlineStr">
        <is>
          <t>Ravi K</t>
        </is>
      </c>
      <c r="I2" s="2" t="inlineStr"/>
    </row>
    <row r="3">
      <c r="A3" s="2" t="inlineStr">
        <is>
          <t>Jan 2025</t>
        </is>
      </c>
      <c r="B3" s="2" t="inlineStr">
        <is>
          <t>BILL-002</t>
        </is>
      </c>
      <c r="C3" s="2" t="inlineStr">
        <is>
          <t>TTSL-CORP-NTW 882341 NEFT CR</t>
        </is>
      </c>
      <c r="D3" s="2" t="inlineStr">
        <is>
          <t>Utilities</t>
        </is>
      </c>
      <c r="E3" s="3" t="n">
        <v>8500</v>
      </c>
      <c r="F3" s="3" t="n">
        <v>8500</v>
      </c>
      <c r="G3" s="4">
        <f>IF(F3&lt;&gt;"",F3-E3,"")</f>
        <v/>
      </c>
      <c r="H3" s="2" t="inlineStr">
        <is>
          <t>Ravi K</t>
        </is>
      </c>
      <c r="I3" s="2" t="inlineStr"/>
    </row>
    <row r="4">
      <c r="A4" s="2" t="inlineStr">
        <is>
          <t>Jan 2025</t>
        </is>
      </c>
      <c r="B4" s="2" t="inlineStr">
        <is>
          <t>BILL-003</t>
        </is>
      </c>
      <c r="C4" s="2" t="inlineStr">
        <is>
          <t>KRMGL PROP MGMT NEFT 00192</t>
        </is>
      </c>
      <c r="D4" s="2" t="inlineStr">
        <is>
          <t>Facilities</t>
        </is>
      </c>
      <c r="E4" s="3" t="n">
        <v>120000</v>
      </c>
      <c r="F4" s="3" t="n">
        <v>120000</v>
      </c>
      <c r="G4" s="4">
        <f>IF(F4&lt;&gt;"",F4-E4,"")</f>
        <v/>
      </c>
      <c r="H4" s="2" t="inlineStr">
        <is>
          <t>Priya S</t>
        </is>
      </c>
      <c r="I4" s="2" t="inlineStr">
        <is>
          <t>Cheque</t>
        </is>
      </c>
    </row>
    <row r="5">
      <c r="A5" s="2" t="inlineStr">
        <is>
          <t>Jan 2025</t>
        </is>
      </c>
      <c r="B5" s="2" t="inlineStr">
        <is>
          <t>BILL-004</t>
        </is>
      </c>
      <c r="C5" s="2" t="inlineStr">
        <is>
          <t>ZOHO CORP *SUITE INV882</t>
        </is>
      </c>
      <c r="D5" s="2" t="inlineStr">
        <is>
          <t>Software</t>
        </is>
      </c>
      <c r="E5" s="3" t="n">
        <v>6200</v>
      </c>
      <c r="F5" s="3" t="n">
        <v>6200</v>
      </c>
      <c r="G5" s="4">
        <f>IF(F5&lt;&gt;"",F5-E5,"")</f>
        <v/>
      </c>
      <c r="H5" s="2" t="inlineStr">
        <is>
          <t>Ravi K</t>
        </is>
      </c>
      <c r="I5" s="2" t="inlineStr"/>
    </row>
    <row r="6">
      <c r="A6" s="2" t="inlineStr">
        <is>
          <t>Jan 2025</t>
        </is>
      </c>
      <c r="B6" s="2" t="inlineStr">
        <is>
          <t>BILL-005</t>
        </is>
      </c>
      <c r="C6" s="2" t="inlineStr">
        <is>
          <t>SWGY BIZ REIMB POOL JAN</t>
        </is>
      </c>
      <c r="D6" s="2" t="inlineStr">
        <is>
          <t>Meals</t>
        </is>
      </c>
      <c r="E6" s="3" t="n">
        <v>12000</v>
      </c>
      <c r="F6" s="3" t="n">
        <v>11400</v>
      </c>
      <c r="G6" s="4">
        <f>IF(F6&lt;&gt;"",F6-E6,"")</f>
        <v/>
      </c>
      <c r="H6" s="2" t="inlineStr">
        <is>
          <t>Priya S</t>
        </is>
      </c>
      <c r="I6" s="2" t="inlineStr">
        <is>
          <t>Under budget</t>
        </is>
      </c>
    </row>
    <row r="7">
      <c r="A7" s="2" t="inlineStr">
        <is>
          <t>Jan 2025</t>
        </is>
      </c>
      <c r="B7" s="2" t="inlineStr">
        <is>
          <t>BILL-006</t>
        </is>
      </c>
      <c r="C7" s="2" t="inlineStr">
        <is>
          <t>CASH WITHDRAWAL SECURITY 0091</t>
        </is>
      </c>
      <c r="D7" s="2" t="inlineStr">
        <is>
          <t>Facilities</t>
        </is>
      </c>
      <c r="E7" s="3" t="n">
        <v>35000</v>
      </c>
      <c r="F7" s="3" t="n">
        <v>35000</v>
      </c>
      <c r="G7" s="4">
        <f>IF(F7&lt;&gt;"",F7-E7,"")</f>
        <v/>
      </c>
      <c r="H7" s="2" t="inlineStr">
        <is>
          <t>Priya S</t>
        </is>
      </c>
      <c r="I7" s="2" t="inlineStr"/>
    </row>
    <row r="8">
      <c r="A8" s="2" t="inlineStr">
        <is>
          <t>Jan 2025</t>
        </is>
      </c>
      <c r="B8" s="2" t="inlineStr">
        <is>
          <t>BILL-007</t>
        </is>
      </c>
      <c r="C8" s="2" t="inlineStr">
        <is>
          <t>GOOGLE *WSPC INV JAN25</t>
        </is>
      </c>
      <c r="D8" s="2" t="inlineStr">
        <is>
          <t>Software</t>
        </is>
      </c>
      <c r="E8" s="3" t="n">
        <v>4800</v>
      </c>
      <c r="F8" s="3" t="n">
        <v>4800</v>
      </c>
      <c r="G8" s="4">
        <f>IF(F8&lt;&gt;"",F8-E8,"")</f>
        <v/>
      </c>
      <c r="H8" s="2" t="inlineStr">
        <is>
          <t>Ravi K</t>
        </is>
      </c>
      <c r="I8" s="2" t="inlineStr"/>
    </row>
    <row r="9">
      <c r="A9" s="2" t="inlineStr">
        <is>
          <t>Jan 2025</t>
        </is>
      </c>
      <c r="B9" s="2" t="inlineStr">
        <is>
          <t>BILL-008</t>
        </is>
      </c>
      <c r="C9" s="2" t="inlineStr">
        <is>
          <t>DTDC CORP ACC 7734 JAN</t>
        </is>
      </c>
      <c r="D9" s="2" t="inlineStr">
        <is>
          <t>Logistics</t>
        </is>
      </c>
      <c r="E9" s="3" t="n">
        <v>3500</v>
      </c>
      <c r="F9" s="3" t="n">
        <v>2800</v>
      </c>
      <c r="G9" s="4">
        <f>IF(F9&lt;&gt;"",F9-E9,"")</f>
        <v/>
      </c>
      <c r="H9" s="2" t="inlineStr">
        <is>
          <t>Ravi K</t>
        </is>
      </c>
      <c r="I9" s="2" t="inlineStr">
        <is>
          <t>Low volume</t>
        </is>
      </c>
    </row>
    <row r="10">
      <c r="A10" s="2" t="inlineStr">
        <is>
          <t>Feb 2025</t>
        </is>
      </c>
      <c r="B10" s="2" t="inlineStr">
        <is>
          <t>BILL-001</t>
        </is>
      </c>
      <c r="C10" s="2" t="inlineStr">
        <is>
          <t>AMZN WEB SVCS IN *AWS51002</t>
        </is>
      </c>
      <c r="D10" s="2" t="inlineStr">
        <is>
          <t>Infrastructure</t>
        </is>
      </c>
      <c r="E10" s="3" t="n">
        <v>45000</v>
      </c>
      <c r="F10" s="3" t="n">
        <v>47200</v>
      </c>
      <c r="G10" s="4">
        <f>IF(F10&lt;&gt;"",F10-E10,"")</f>
        <v/>
      </c>
      <c r="H10" s="2" t="inlineStr">
        <is>
          <t>Ravi K</t>
        </is>
      </c>
      <c r="I10" s="2" t="inlineStr">
        <is>
          <t>Usage spike</t>
        </is>
      </c>
    </row>
    <row r="11">
      <c r="A11" s="2" t="inlineStr">
        <is>
          <t>Feb 2025</t>
        </is>
      </c>
      <c r="B11" s="2" t="inlineStr">
        <is>
          <t>BILL-002</t>
        </is>
      </c>
      <c r="C11" s="2" t="inlineStr">
        <is>
          <t>TTSL-CORP-NTW 882341 NEFT CR</t>
        </is>
      </c>
      <c r="D11" s="2" t="inlineStr">
        <is>
          <t>Utilities</t>
        </is>
      </c>
      <c r="E11" s="3" t="n">
        <v>8500</v>
      </c>
      <c r="F11" s="3" t="n">
        <v>8500</v>
      </c>
      <c r="G11" s="4">
        <f>IF(F11&lt;&gt;"",F11-E11,"")</f>
        <v/>
      </c>
      <c r="H11" s="2" t="inlineStr">
        <is>
          <t>Ravi K</t>
        </is>
      </c>
      <c r="I11" s="2" t="inlineStr"/>
    </row>
    <row r="12">
      <c r="A12" s="2" t="inlineStr">
        <is>
          <t>Feb 2025</t>
        </is>
      </c>
      <c r="B12" s="2" t="inlineStr">
        <is>
          <t>BILL-003</t>
        </is>
      </c>
      <c r="C12" s="2" t="inlineStr">
        <is>
          <t>KRMGL PROP MGMT NEFT 00192</t>
        </is>
      </c>
      <c r="D12" s="2" t="inlineStr">
        <is>
          <t>Facilities</t>
        </is>
      </c>
      <c r="E12" s="3" t="n">
        <v>120000</v>
      </c>
      <c r="F12" s="3" t="n">
        <v>120000</v>
      </c>
      <c r="G12" s="4">
        <f>IF(F12&lt;&gt;"",F12-E12,"")</f>
        <v/>
      </c>
      <c r="H12" s="2" t="inlineStr">
        <is>
          <t>Priya S</t>
        </is>
      </c>
      <c r="I12" s="2" t="inlineStr"/>
    </row>
    <row r="13">
      <c r="A13" s="2" t="inlineStr">
        <is>
          <t>Feb 2025</t>
        </is>
      </c>
      <c r="B13" s="2" t="inlineStr">
        <is>
          <t>BILL-004</t>
        </is>
      </c>
      <c r="C13" s="2" t="inlineStr">
        <is>
          <t>ZOHO CORP *SUITE INV991</t>
        </is>
      </c>
      <c r="D13" s="2" t="inlineStr">
        <is>
          <t>Software</t>
        </is>
      </c>
      <c r="E13" s="3" t="n">
        <v>6200</v>
      </c>
      <c r="F13" s="3" t="n">
        <v>6200</v>
      </c>
      <c r="G13" s="4">
        <f>IF(F13&lt;&gt;"",F13-E13,"")</f>
        <v/>
      </c>
      <c r="H13" s="2" t="inlineStr">
        <is>
          <t>Ravi K</t>
        </is>
      </c>
      <c r="I13" s="2" t="inlineStr"/>
    </row>
    <row r="14">
      <c r="A14" s="2" t="inlineStr">
        <is>
          <t>Feb 2025</t>
        </is>
      </c>
      <c r="B14" s="2" t="inlineStr">
        <is>
          <t>BILL-005</t>
        </is>
      </c>
      <c r="C14" s="2" t="inlineStr">
        <is>
          <t>SWGY BIZ REIMB POOL FEB</t>
        </is>
      </c>
      <c r="D14" s="2" t="inlineStr">
        <is>
          <t>Meals</t>
        </is>
      </c>
      <c r="E14" s="3" t="n">
        <v>12000</v>
      </c>
      <c r="F14" s="3" t="n">
        <v>13500</v>
      </c>
      <c r="G14" s="4">
        <f>IF(F14&lt;&gt;"",F14-E14,"")</f>
        <v/>
      </c>
      <c r="H14" s="2" t="inlineStr">
        <is>
          <t>Priya S</t>
        </is>
      </c>
      <c r="I14" s="2" t="inlineStr">
        <is>
          <t>Team lunch</t>
        </is>
      </c>
    </row>
    <row r="15">
      <c r="A15" s="2" t="inlineStr">
        <is>
          <t>Feb 2025</t>
        </is>
      </c>
      <c r="B15" s="2" t="inlineStr">
        <is>
          <t>BILL-006</t>
        </is>
      </c>
      <c r="C15" s="2" t="inlineStr">
        <is>
          <t>CASH WITHDRAWAL SECURITY 0091</t>
        </is>
      </c>
      <c r="D15" s="2" t="inlineStr">
        <is>
          <t>Facilities</t>
        </is>
      </c>
      <c r="E15" s="3" t="n">
        <v>35000</v>
      </c>
      <c r="F15" s="3" t="n">
        <v>35000</v>
      </c>
      <c r="G15" s="4">
        <f>IF(F15&lt;&gt;"",F15-E15,"")</f>
        <v/>
      </c>
      <c r="H15" s="2" t="inlineStr">
        <is>
          <t>Priya S</t>
        </is>
      </c>
      <c r="I15" s="2" t="inlineStr"/>
    </row>
    <row r="16">
      <c r="A16" s="2" t="inlineStr">
        <is>
          <t>Feb 2025</t>
        </is>
      </c>
      <c r="B16" s="2" t="inlineStr">
        <is>
          <t>BILL-007</t>
        </is>
      </c>
      <c r="C16" s="2" t="inlineStr">
        <is>
          <t>GOOGLE *WSPC INV FEB25</t>
        </is>
      </c>
      <c r="D16" s="2" t="inlineStr">
        <is>
          <t>Software</t>
        </is>
      </c>
      <c r="E16" s="3" t="n">
        <v>4800</v>
      </c>
      <c r="F16" s="3" t="n">
        <v>4800</v>
      </c>
      <c r="G16" s="4">
        <f>IF(F16&lt;&gt;"",F16-E16,"")</f>
        <v/>
      </c>
      <c r="H16" s="2" t="inlineStr">
        <is>
          <t>Ravi K</t>
        </is>
      </c>
      <c r="I16" s="2" t="inlineStr"/>
    </row>
    <row r="17">
      <c r="A17" s="2" t="inlineStr">
        <is>
          <t>Feb 2025</t>
        </is>
      </c>
      <c r="B17" s="2" t="inlineStr">
        <is>
          <t>BILL-008</t>
        </is>
      </c>
      <c r="C17" s="2" t="inlineStr">
        <is>
          <t>DTDC CORP ACC 7734 FEB</t>
        </is>
      </c>
      <c r="D17" s="2" t="inlineStr">
        <is>
          <t>Logistics</t>
        </is>
      </c>
      <c r="E17" s="3" t="n">
        <v>3500</v>
      </c>
      <c r="F17" s="3" t="n">
        <v>4100</v>
      </c>
      <c r="G17" s="4">
        <f>IF(F17&lt;&gt;"",F17-E17,"")</f>
        <v/>
      </c>
      <c r="H17" s="2" t="inlineStr">
        <is>
          <t>Ravi K</t>
        </is>
      </c>
      <c r="I17" s="2" t="inlineStr"/>
    </row>
    <row r="18">
      <c r="A18" s="5" t="inlineStr">
        <is>
          <t>Mar 2025</t>
        </is>
      </c>
      <c r="B18" s="5" t="inlineStr">
        <is>
          <t>BILL-001</t>
        </is>
      </c>
      <c r="C18" s="5" t="inlineStr">
        <is>
          <t>AMZN WEB SVCS IN *AWS53871</t>
        </is>
      </c>
      <c r="D18" s="5" t="inlineStr">
        <is>
          <t>Infrastructure</t>
        </is>
      </c>
      <c r="E18" s="6" t="n">
        <v>45000</v>
      </c>
      <c r="F18" s="6" t="n"/>
      <c r="G18" s="7">
        <f>IF(F18&lt;&gt;"",F18-E18,"")</f>
        <v/>
      </c>
      <c r="H18" s="5" t="inlineStr"/>
      <c r="I18" s="5" t="inlineStr"/>
      <c r="J18" s="8" t="n"/>
    </row>
    <row r="19">
      <c r="A19" s="5" t="inlineStr">
        <is>
          <t>Mar 2025</t>
        </is>
      </c>
      <c r="B19" s="5" t="inlineStr">
        <is>
          <t>BILL-002</t>
        </is>
      </c>
      <c r="C19" s="5" t="inlineStr">
        <is>
          <t>TTSL-CORP-NTW 992104 NEFT CR</t>
        </is>
      </c>
      <c r="D19" s="5" t="inlineStr">
        <is>
          <t>Utilities</t>
        </is>
      </c>
      <c r="E19" s="6" t="n">
        <v>8500</v>
      </c>
      <c r="F19" s="6" t="n"/>
      <c r="G19" s="7">
        <f>IF(F19&lt;&gt;"",F19-E19,"")</f>
        <v/>
      </c>
      <c r="H19" s="5" t="inlineStr"/>
      <c r="I19" s="5" t="inlineStr"/>
      <c r="J19" s="8" t="n"/>
    </row>
    <row r="20">
      <c r="A20" s="5" t="inlineStr">
        <is>
          <t>Mar 2025</t>
        </is>
      </c>
      <c r="B20" s="5" t="inlineStr">
        <is>
          <t>BILL-003</t>
        </is>
      </c>
      <c r="C20" s="5" t="inlineStr">
        <is>
          <t>KRMGL PROP MGMT NEFT 00192</t>
        </is>
      </c>
      <c r="D20" s="5" t="inlineStr">
        <is>
          <t>Facilities</t>
        </is>
      </c>
      <c r="E20" s="6" t="n">
        <v>120000</v>
      </c>
      <c r="F20" s="6" t="n"/>
      <c r="G20" s="7">
        <f>IF(F20&lt;&gt;"",F20-E20,"")</f>
        <v/>
      </c>
      <c r="H20" s="5" t="inlineStr"/>
      <c r="I20" s="5" t="inlineStr"/>
      <c r="J20" s="8" t="n"/>
    </row>
    <row r="21">
      <c r="A21" s="5" t="inlineStr">
        <is>
          <t>Mar 2025</t>
        </is>
      </c>
      <c r="B21" s="5" t="inlineStr">
        <is>
          <t>BILL-004</t>
        </is>
      </c>
      <c r="C21" s="5" t="inlineStr">
        <is>
          <t>ZOHO CORP *SUITE INV1104</t>
        </is>
      </c>
      <c r="D21" s="5" t="inlineStr">
        <is>
          <t>Software</t>
        </is>
      </c>
      <c r="E21" s="6" t="n">
        <v>6200</v>
      </c>
      <c r="F21" s="6" t="n"/>
      <c r="G21" s="7">
        <f>IF(F21&lt;&gt;"",F21-E21,"")</f>
        <v/>
      </c>
      <c r="H21" s="5" t="inlineStr"/>
      <c r="I21" s="5" t="inlineStr"/>
      <c r="J21" s="8" t="n"/>
    </row>
    <row r="22">
      <c r="A22" s="5" t="inlineStr">
        <is>
          <t>Mar 2025</t>
        </is>
      </c>
      <c r="B22" s="5" t="inlineStr">
        <is>
          <t>BILL-005</t>
        </is>
      </c>
      <c r="C22" s="5" t="inlineStr">
        <is>
          <t>SWGY BIZ REIMB POOL MAR</t>
        </is>
      </c>
      <c r="D22" s="5" t="inlineStr">
        <is>
          <t>Meals</t>
        </is>
      </c>
      <c r="E22" s="6" t="n">
        <v>12000</v>
      </c>
      <c r="F22" s="6" t="n"/>
      <c r="G22" s="7">
        <f>IF(F22&lt;&gt;"",F22-E22,"")</f>
        <v/>
      </c>
      <c r="H22" s="5" t="inlineStr"/>
      <c r="I22" s="5" t="inlineStr"/>
      <c r="J22" s="8" t="n"/>
    </row>
    <row r="23">
      <c r="A23" s="5" t="inlineStr">
        <is>
          <t>Mar 2025</t>
        </is>
      </c>
      <c r="B23" s="5" t="inlineStr">
        <is>
          <t>BILL-006</t>
        </is>
      </c>
      <c r="C23" s="5" t="inlineStr">
        <is>
          <t>CASH WITHDRAWAL 0091 MAR</t>
        </is>
      </c>
      <c r="D23" s="5" t="inlineStr">
        <is>
          <t>Facilities</t>
        </is>
      </c>
      <c r="E23" s="6" t="n">
        <v>35000</v>
      </c>
      <c r="F23" s="6" t="n"/>
      <c r="G23" s="7">
        <f>IF(F23&lt;&gt;"",F23-E23,"")</f>
        <v/>
      </c>
      <c r="H23" s="5" t="inlineStr"/>
      <c r="I23" s="5" t="inlineStr"/>
      <c r="J23" s="8" t="n"/>
    </row>
    <row r="24">
      <c r="A24" s="5" t="inlineStr">
        <is>
          <t>Mar 2025</t>
        </is>
      </c>
      <c r="B24" s="5" t="inlineStr">
        <is>
          <t>BILL-007</t>
        </is>
      </c>
      <c r="C24" s="5" t="inlineStr">
        <is>
          <t>GOOGLE *WSPC INV MAR25</t>
        </is>
      </c>
      <c r="D24" s="5" t="inlineStr">
        <is>
          <t>Software</t>
        </is>
      </c>
      <c r="E24" s="6" t="n">
        <v>4800</v>
      </c>
      <c r="F24" s="6" t="n"/>
      <c r="G24" s="7">
        <f>IF(F24&lt;&gt;"",F24-E24,"")</f>
        <v/>
      </c>
      <c r="H24" s="5" t="inlineStr"/>
      <c r="I24" s="5" t="inlineStr"/>
      <c r="J24" s="8" t="n"/>
    </row>
    <row r="25">
      <c r="A25" s="5" t="inlineStr">
        <is>
          <t>Mar 2025</t>
        </is>
      </c>
      <c r="B25" s="5" t="inlineStr">
        <is>
          <t>BILL-008</t>
        </is>
      </c>
      <c r="C25" s="5" t="inlineStr">
        <is>
          <t>DTDC CORP ACC 7734 MAR</t>
        </is>
      </c>
      <c r="D25" s="5" t="inlineStr">
        <is>
          <t>Logistics</t>
        </is>
      </c>
      <c r="E25" s="6" t="n">
        <v>3500</v>
      </c>
      <c r="F25" s="6" t="n"/>
      <c r="G25" s="7">
        <f>IF(F25&lt;&gt;"",F25-E25,"")</f>
        <v/>
      </c>
      <c r="H25" s="5" t="inlineStr"/>
      <c r="I25" s="5" t="inlineStr"/>
      <c r="J25" s="8" t="n"/>
    </row>
    <row r="27">
      <c r="A27" s="9" t="inlineStr">
        <is>
          <t>Mar 2025 — Total Actualized</t>
        </is>
      </c>
      <c r="E27" s="10">
        <f>SUMIF(A18:A25,"Mar 2025",E18:E25)</f>
        <v/>
      </c>
      <c r="F27" s="11">
        <f>SUMIFS(F18:F25,A18:A25,"Mar 2025",H18:H25,"Paid")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2" customWidth="1" min="3" max="3"/>
  </cols>
  <sheetData>
    <row r="1">
      <c r="A1" s="12" t="inlineStr">
        <is>
          <t>Bill ID</t>
        </is>
      </c>
      <c r="B1" s="12" t="inlineStr">
        <is>
          <t>Transaction String</t>
        </is>
      </c>
      <c r="C1" s="12" t="inlineStr">
        <is>
          <t>Actualized Amount (₹)</t>
        </is>
      </c>
    </row>
    <row r="2">
      <c r="A2" s="2" t="inlineStr">
        <is>
          <t>BILL-001</t>
        </is>
      </c>
      <c r="B2" s="2" t="inlineStr">
        <is>
          <t>AMZN WEB SVCS IN *AWS53871</t>
        </is>
      </c>
      <c r="C2" s="3" t="n">
        <v>45000</v>
      </c>
    </row>
    <row r="3">
      <c r="A3" s="2" t="inlineStr">
        <is>
          <t>BILL-002</t>
        </is>
      </c>
      <c r="B3" s="2" t="inlineStr">
        <is>
          <t>TTSL-CORP-NTW 992104 NEFT CR</t>
        </is>
      </c>
      <c r="C3" s="3" t="n">
        <v>8500</v>
      </c>
    </row>
    <row r="4">
      <c r="A4" s="2" t="inlineStr">
        <is>
          <t>BILL-003</t>
        </is>
      </c>
      <c r="B4" s="2" t="inlineStr">
        <is>
          <t>KRMGL PROP MGMT NEFT 00192</t>
        </is>
      </c>
      <c r="C4" s="3" t="n">
        <v>120000</v>
      </c>
    </row>
    <row r="5">
      <c r="A5" s="2" t="inlineStr">
        <is>
          <t>BILL-004</t>
        </is>
      </c>
      <c r="B5" s="2" t="inlineStr">
        <is>
          <t>ZOHO CORP *SUITE INV1104</t>
        </is>
      </c>
      <c r="C5" s="3" t="n">
        <v>6200</v>
      </c>
    </row>
    <row r="6">
      <c r="A6" s="2" t="inlineStr">
        <is>
          <t>BILL-005</t>
        </is>
      </c>
      <c r="B6" s="2" t="inlineStr">
        <is>
          <t>SWGY BIZ REIMB POOL MAR</t>
        </is>
      </c>
      <c r="C6" s="3" t="n">
        <v>11800</v>
      </c>
    </row>
    <row r="7">
      <c r="A7" s="2" t="inlineStr">
        <is>
          <t>BILL-006</t>
        </is>
      </c>
      <c r="B7" s="2" t="inlineStr">
        <is>
          <t>CASH WITHDRAWAL 0091 MAR</t>
        </is>
      </c>
      <c r="C7" s="3" t="n">
        <v>35000</v>
      </c>
    </row>
    <row r="8">
      <c r="A8" s="2" t="inlineStr">
        <is>
          <t>BILL-007</t>
        </is>
      </c>
      <c r="B8" s="2" t="inlineStr">
        <is>
          <t>GOOGLE *WSPC INV MAR25</t>
        </is>
      </c>
      <c r="C8" s="3" t="n">
        <v>4800</v>
      </c>
    </row>
    <row r="9">
      <c r="A9" s="2" t="inlineStr">
        <is>
          <t>BILL-008</t>
        </is>
      </c>
      <c r="B9" s="2" t="inlineStr">
        <is>
          <t>DTDC CORP ACC 7734 MAR</t>
        </is>
      </c>
      <c r="C9" s="3" t="n">
        <v>3100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2026-04-25T07:29:29Z</dcterms:created>
  <dcterms:modified xmlns:dcterms="http://purl.org/dc/terms/" xmlns:xsi="http://www.w3.org/2001/XMLSchema-instance" xsi:type="dcterms:W3CDTF">2026-04-25T07:29:29Z</dcterms:modified>
</cp:coreProperties>
</file>